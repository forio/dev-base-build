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pq/code/dev-base-build/model/"/>
    </mc:Choice>
  </mc:AlternateContent>
  <xr:revisionPtr revIDLastSave="0" documentId="13_ncr:1_{F9CE98B4-C9DB-0844-BEA7-473173E64B6F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Sheet1" sheetId="1" r:id="rId1"/>
  </sheets>
  <definedNames>
    <definedName name="Capacity">Sheet1!$B$7:$L$7</definedName>
    <definedName name="creator">Sheet1!$B$1</definedName>
    <definedName name="Demand">Sheet1!$B$6:$L$6</definedName>
    <definedName name="Fixed_Costs">Sheet1!$B$9:$L$9</definedName>
    <definedName name="Price">Sheet1!$B$5:$L$5</definedName>
    <definedName name="Profit">Sheet1!$B$14:$L$14</definedName>
    <definedName name="Report_Capacity">Sheet1!$B$22:$L$22</definedName>
    <definedName name="Report_Demand">Sheet1!$B$21:$L$21</definedName>
    <definedName name="Report_Fixed_Costs">Sheet1!$B$24:$L$24</definedName>
    <definedName name="Report_Price">Sheet1!$B$20:$L$20</definedName>
    <definedName name="Report_Profit">Sheet1!$B$19:$L$19</definedName>
    <definedName name="Report_Revenue">Sheet1!$B$17:$L$17</definedName>
    <definedName name="Report_Total_Costs">Sheet1!$B$18:$L$18</definedName>
    <definedName name="Report_Units_Sold">Sheet1!$B$16:$L$16</definedName>
    <definedName name="Report_Variable_Cost">Sheet1!$B$23:$L$23</definedName>
    <definedName name="Revenue">Sheet1!$B$12:$L$12</definedName>
    <definedName name="Step">Sheet1!$B$2</definedName>
    <definedName name="Time">Sheet1!$B$3:$L$3</definedName>
    <definedName name="Total_Costs">Sheet1!$B$13:$L$13</definedName>
    <definedName name="Units_Sold">Sheet1!$B$11:$L$11</definedName>
    <definedName name="Variable_Cost">Sheet1!$B$8:$L$8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  <c r="C20" i="1"/>
  <c r="B13" i="1"/>
  <c r="C18" i="1" s="1"/>
  <c r="B11" i="1"/>
  <c r="C16" i="1" s="1"/>
  <c r="C9" i="1"/>
  <c r="D24" i="1" s="1"/>
  <c r="C8" i="1"/>
  <c r="D23" i="1" s="1"/>
  <c r="C7" i="1"/>
  <c r="D7" i="1" s="1"/>
  <c r="C6" i="1"/>
  <c r="C11" i="1" s="1"/>
  <c r="D16" i="1" s="1"/>
  <c r="C5" i="1"/>
  <c r="D20" i="1" s="1"/>
  <c r="D8" i="1" l="1"/>
  <c r="E23" i="1" s="1"/>
  <c r="D6" i="1"/>
  <c r="D11" i="1" s="1"/>
  <c r="E16" i="1" s="1"/>
  <c r="D21" i="1"/>
  <c r="E7" i="1"/>
  <c r="E22" i="1"/>
  <c r="D9" i="1"/>
  <c r="C13" i="1"/>
  <c r="D18" i="1" s="1"/>
  <c r="E21" i="1"/>
  <c r="D22" i="1"/>
  <c r="E8" i="1"/>
  <c r="B12" i="1"/>
  <c r="D5" i="1"/>
  <c r="E6" i="1"/>
  <c r="C12" i="1"/>
  <c r="C17" i="1" l="1"/>
  <c r="B14" i="1"/>
  <c r="C19" i="1" s="1"/>
  <c r="C14" i="1"/>
  <c r="D19" i="1" s="1"/>
  <c r="D17" i="1"/>
  <c r="F23" i="1"/>
  <c r="F8" i="1"/>
  <c r="D13" i="1"/>
  <c r="E18" i="1" s="1"/>
  <c r="E9" i="1"/>
  <c r="E24" i="1"/>
  <c r="E11" i="1"/>
  <c r="F16" i="1" s="1"/>
  <c r="F6" i="1"/>
  <c r="F21" i="1"/>
  <c r="D12" i="1"/>
  <c r="E20" i="1"/>
  <c r="E5" i="1"/>
  <c r="F7" i="1"/>
  <c r="F22" i="1"/>
  <c r="G22" i="1" l="1"/>
  <c r="G7" i="1"/>
  <c r="E13" i="1"/>
  <c r="F18" i="1" s="1"/>
  <c r="F9" i="1"/>
  <c r="F24" i="1"/>
  <c r="F5" i="1"/>
  <c r="E12" i="1"/>
  <c r="F20" i="1"/>
  <c r="D14" i="1"/>
  <c r="E19" i="1" s="1"/>
  <c r="E17" i="1"/>
  <c r="G8" i="1"/>
  <c r="G23" i="1"/>
  <c r="F11" i="1"/>
  <c r="G16" i="1" s="1"/>
  <c r="G6" i="1"/>
  <c r="G21" i="1"/>
  <c r="E14" i="1" l="1"/>
  <c r="F19" i="1" s="1"/>
  <c r="F17" i="1"/>
  <c r="G11" i="1"/>
  <c r="H16" i="1" s="1"/>
  <c r="H6" i="1"/>
  <c r="H21" i="1"/>
  <c r="G5" i="1"/>
  <c r="G20" i="1"/>
  <c r="F12" i="1"/>
  <c r="G9" i="1"/>
  <c r="F13" i="1"/>
  <c r="G18" i="1" s="1"/>
  <c r="G24" i="1"/>
  <c r="H8" i="1"/>
  <c r="H23" i="1"/>
  <c r="H22" i="1"/>
  <c r="H7" i="1"/>
  <c r="I22" i="1" l="1"/>
  <c r="I7" i="1"/>
  <c r="H5" i="1"/>
  <c r="H20" i="1"/>
  <c r="G12" i="1"/>
  <c r="I21" i="1"/>
  <c r="I6" i="1"/>
  <c r="H11" i="1"/>
  <c r="I16" i="1" s="1"/>
  <c r="F14" i="1"/>
  <c r="G19" i="1" s="1"/>
  <c r="G17" i="1"/>
  <c r="I8" i="1"/>
  <c r="I23" i="1"/>
  <c r="G13" i="1"/>
  <c r="H18" i="1" s="1"/>
  <c r="H9" i="1"/>
  <c r="H24" i="1"/>
  <c r="J21" i="1" l="1"/>
  <c r="J6" i="1"/>
  <c r="I11" i="1"/>
  <c r="J16" i="1" s="1"/>
  <c r="H13" i="1"/>
  <c r="I18" i="1" s="1"/>
  <c r="I9" i="1"/>
  <c r="I24" i="1"/>
  <c r="H17" i="1"/>
  <c r="G14" i="1"/>
  <c r="H19" i="1" s="1"/>
  <c r="J8" i="1"/>
  <c r="J23" i="1"/>
  <c r="I5" i="1"/>
  <c r="I20" i="1"/>
  <c r="H12" i="1"/>
  <c r="J7" i="1"/>
  <c r="J22" i="1"/>
  <c r="K7" i="1" l="1"/>
  <c r="K22" i="1"/>
  <c r="I17" i="1"/>
  <c r="H14" i="1"/>
  <c r="I19" i="1" s="1"/>
  <c r="I13" i="1"/>
  <c r="J18" i="1" s="1"/>
  <c r="J24" i="1"/>
  <c r="J9" i="1"/>
  <c r="J5" i="1"/>
  <c r="J20" i="1"/>
  <c r="I12" i="1"/>
  <c r="K21" i="1"/>
  <c r="J11" i="1"/>
  <c r="K16" i="1" s="1"/>
  <c r="K6" i="1"/>
  <c r="K8" i="1"/>
  <c r="K23" i="1"/>
  <c r="K20" i="1" l="1"/>
  <c r="J12" i="1"/>
  <c r="K5" i="1"/>
  <c r="K24" i="1"/>
  <c r="K9" i="1"/>
  <c r="J13" i="1"/>
  <c r="K18" i="1" s="1"/>
  <c r="L8" i="1"/>
  <c r="L23" i="1"/>
  <c r="L6" i="1"/>
  <c r="K11" i="1"/>
  <c r="L16" i="1" s="1"/>
  <c r="L21" i="1"/>
  <c r="J17" i="1"/>
  <c r="I14" i="1"/>
  <c r="J19" i="1" s="1"/>
  <c r="L7" i="1"/>
  <c r="L22" i="1"/>
  <c r="L24" i="1" l="1"/>
  <c r="K13" i="1"/>
  <c r="L18" i="1" s="1"/>
  <c r="L9" i="1"/>
  <c r="L13" i="1" s="1"/>
  <c r="L20" i="1"/>
  <c r="K12" i="1"/>
  <c r="L5" i="1"/>
  <c r="L12" i="1" s="1"/>
  <c r="L14" i="1" s="1"/>
  <c r="K17" i="1"/>
  <c r="J14" i="1"/>
  <c r="K19" i="1" s="1"/>
  <c r="L11" i="1"/>
  <c r="K14" i="1" l="1"/>
  <c r="L19" i="1" s="1"/>
  <c r="L17" i="1"/>
</calcChain>
</file>

<file path=xl/sharedStrings.xml><?xml version="1.0" encoding="utf-8"?>
<sst xmlns="http://schemas.openxmlformats.org/spreadsheetml/2006/main" count="16" uniqueCount="16">
  <si>
    <t>Step</t>
  </si>
  <si>
    <t>Time</t>
  </si>
  <si>
    <t>Price</t>
  </si>
  <si>
    <t>Demand</t>
  </si>
  <si>
    <t>Capacity</t>
  </si>
  <si>
    <t>Variable_Cost</t>
  </si>
  <si>
    <t>Fixed_Costs</t>
  </si>
  <si>
    <t>Units_Sold</t>
  </si>
  <si>
    <t>Revenue</t>
  </si>
  <si>
    <t>Total_Costs</t>
  </si>
  <si>
    <t>Profit</t>
  </si>
  <si>
    <t>Report_Units_Sold</t>
  </si>
  <si>
    <t>Report_Revenue</t>
  </si>
  <si>
    <t>Report_Total_Costs</t>
  </si>
  <si>
    <t>Report_Profit</t>
  </si>
  <si>
    <t>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</si>
</sst>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L32" sqref="L32"/>
    </sheetView>
  </sheetViews>
  <sheetFormatPr baseColWidth="10" defaultColWidth="8.83203125" defaultRowHeight="15" x14ac:dyDescent="0.2"/>
  <sheetData>
    <row r="1" spans="1:12" x14ac:dyDescent="0.2">
      <c r="A1" t="s">
        <v>15</v>
      </c>
    </row>
    <row r="2" spans="1:12" x14ac:dyDescent="0.2">
      <c r="A2" t="s">
        <v>0</v>
      </c>
      <c r="B2">
        <v>1</v>
      </c>
    </row>
    <row r="3" spans="1:12" x14ac:dyDescent="0.2">
      <c r="A3" t="s">
        <v>1</v>
      </c>
      <c r="B3">
        <v>2025</v>
      </c>
      <c r="C3">
        <v>2026</v>
      </c>
      <c r="D3">
        <v>2027</v>
      </c>
      <c r="E3">
        <v>2028</v>
      </c>
      <c r="F3">
        <v>2029</v>
      </c>
      <c r="G3">
        <v>2030</v>
      </c>
      <c r="H3">
        <v>2031</v>
      </c>
      <c r="I3">
        <v>2032</v>
      </c>
      <c r="J3">
        <v>2033</v>
      </c>
      <c r="K3">
        <v>2034</v>
      </c>
      <c r="L3">
        <v>2035</v>
      </c>
    </row>
    <row r="5" spans="1:12" x14ac:dyDescent="0.2">
      <c r="A5" t="s">
        <v>2</v>
      </c>
      <c r="B5">
        <v>100</v>
      </c>
      <c r="C5">
        <f t="shared" ref="C5:L5" si="0">B5</f>
        <v>100</v>
      </c>
      <c r="D5">
        <f t="shared" si="0"/>
        <v>100</v>
      </c>
      <c r="E5">
        <f t="shared" si="0"/>
        <v>100</v>
      </c>
      <c r="F5">
        <f t="shared" si="0"/>
        <v>100</v>
      </c>
      <c r="G5">
        <f t="shared" si="0"/>
        <v>100</v>
      </c>
      <c r="H5">
        <f t="shared" si="0"/>
        <v>100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</row>
    <row r="6" spans="1:12" x14ac:dyDescent="0.2">
      <c r="A6" t="s">
        <v>3</v>
      </c>
      <c r="B6">
        <v>1200</v>
      </c>
      <c r="C6">
        <f t="shared" ref="C6:L6" si="1">B6</f>
        <v>1200</v>
      </c>
      <c r="D6">
        <f t="shared" si="1"/>
        <v>1200</v>
      </c>
      <c r="E6">
        <f t="shared" si="1"/>
        <v>1200</v>
      </c>
      <c r="F6">
        <f t="shared" si="1"/>
        <v>1200</v>
      </c>
      <c r="G6">
        <f t="shared" si="1"/>
        <v>1200</v>
      </c>
      <c r="H6">
        <f t="shared" si="1"/>
        <v>1200</v>
      </c>
      <c r="I6">
        <f t="shared" si="1"/>
        <v>1200</v>
      </c>
      <c r="J6">
        <f t="shared" si="1"/>
        <v>1200</v>
      </c>
      <c r="K6">
        <f t="shared" si="1"/>
        <v>1200</v>
      </c>
      <c r="L6">
        <f t="shared" si="1"/>
        <v>1200</v>
      </c>
    </row>
    <row r="7" spans="1:12" x14ac:dyDescent="0.2">
      <c r="A7" t="s">
        <v>4</v>
      </c>
      <c r="B7">
        <v>1000</v>
      </c>
      <c r="C7">
        <f t="shared" ref="C7:L7" si="2">B7</f>
        <v>1000</v>
      </c>
      <c r="D7">
        <f t="shared" si="2"/>
        <v>1000</v>
      </c>
      <c r="E7">
        <f t="shared" si="2"/>
        <v>1000</v>
      </c>
      <c r="F7">
        <f t="shared" si="2"/>
        <v>1000</v>
      </c>
      <c r="G7">
        <f t="shared" si="2"/>
        <v>1000</v>
      </c>
      <c r="H7">
        <f t="shared" si="2"/>
        <v>1000</v>
      </c>
      <c r="I7">
        <f t="shared" si="2"/>
        <v>1000</v>
      </c>
      <c r="J7">
        <f t="shared" si="2"/>
        <v>1000</v>
      </c>
      <c r="K7">
        <f t="shared" si="2"/>
        <v>1000</v>
      </c>
      <c r="L7">
        <f t="shared" si="2"/>
        <v>1000</v>
      </c>
    </row>
    <row r="8" spans="1:12" x14ac:dyDescent="0.2">
      <c r="A8" t="s">
        <v>5</v>
      </c>
      <c r="B8">
        <v>40</v>
      </c>
      <c r="C8">
        <f t="shared" ref="C8:L8" si="3">B8</f>
        <v>40</v>
      </c>
      <c r="D8">
        <f t="shared" si="3"/>
        <v>40</v>
      </c>
      <c r="E8">
        <f t="shared" si="3"/>
        <v>40</v>
      </c>
      <c r="F8">
        <f t="shared" si="3"/>
        <v>40</v>
      </c>
      <c r="G8">
        <f t="shared" si="3"/>
        <v>40</v>
      </c>
      <c r="H8">
        <f t="shared" si="3"/>
        <v>40</v>
      </c>
      <c r="I8">
        <f t="shared" si="3"/>
        <v>40</v>
      </c>
      <c r="J8">
        <f t="shared" si="3"/>
        <v>40</v>
      </c>
      <c r="K8">
        <f t="shared" si="3"/>
        <v>40</v>
      </c>
      <c r="L8">
        <f t="shared" si="3"/>
        <v>40</v>
      </c>
    </row>
    <row r="9" spans="1:12" x14ac:dyDescent="0.2">
      <c r="A9" t="s">
        <v>6</v>
      </c>
      <c r="B9">
        <v>20000</v>
      </c>
      <c r="C9">
        <f t="shared" ref="C9:L9" si="4">B9</f>
        <v>20000</v>
      </c>
      <c r="D9">
        <f t="shared" si="4"/>
        <v>20000</v>
      </c>
      <c r="E9">
        <f t="shared" si="4"/>
        <v>20000</v>
      </c>
      <c r="F9">
        <f t="shared" si="4"/>
        <v>20000</v>
      </c>
      <c r="G9">
        <f t="shared" si="4"/>
        <v>20000</v>
      </c>
      <c r="H9">
        <f t="shared" si="4"/>
        <v>20000</v>
      </c>
      <c r="I9">
        <f t="shared" si="4"/>
        <v>20000</v>
      </c>
      <c r="J9">
        <f t="shared" si="4"/>
        <v>20000</v>
      </c>
      <c r="K9">
        <f t="shared" si="4"/>
        <v>20000</v>
      </c>
      <c r="L9">
        <f t="shared" si="4"/>
        <v>20000</v>
      </c>
    </row>
    <row r="11" spans="1:12" x14ac:dyDescent="0.2">
      <c r="A11" t="s">
        <v>7</v>
      </c>
      <c r="B11">
        <f t="shared" ref="B11:L11" si="5">MIN(B6,B7)</f>
        <v>1000</v>
      </c>
      <c r="C11">
        <f t="shared" si="5"/>
        <v>1000</v>
      </c>
      <c r="D11">
        <f t="shared" si="5"/>
        <v>1000</v>
      </c>
      <c r="E11">
        <f t="shared" si="5"/>
        <v>1000</v>
      </c>
      <c r="F11">
        <f t="shared" si="5"/>
        <v>1000</v>
      </c>
      <c r="G11">
        <f t="shared" si="5"/>
        <v>1000</v>
      </c>
      <c r="H11">
        <f t="shared" si="5"/>
        <v>1000</v>
      </c>
      <c r="I11">
        <f t="shared" si="5"/>
        <v>1000</v>
      </c>
      <c r="J11">
        <f t="shared" si="5"/>
        <v>1000</v>
      </c>
      <c r="K11">
        <f t="shared" si="5"/>
        <v>1000</v>
      </c>
      <c r="L11">
        <f t="shared" si="5"/>
        <v>1000</v>
      </c>
    </row>
    <row r="12" spans="1:12" x14ac:dyDescent="0.2">
      <c r="A12" t="s">
        <v>8</v>
      </c>
      <c r="B12">
        <f t="shared" ref="B12:L12" si="6">B5*B11</f>
        <v>100000</v>
      </c>
      <c r="C12">
        <f t="shared" si="6"/>
        <v>100000</v>
      </c>
      <c r="D12">
        <f t="shared" si="6"/>
        <v>100000</v>
      </c>
      <c r="E12">
        <f t="shared" si="6"/>
        <v>100000</v>
      </c>
      <c r="F12">
        <f t="shared" si="6"/>
        <v>100000</v>
      </c>
      <c r="G12">
        <f t="shared" si="6"/>
        <v>100000</v>
      </c>
      <c r="H12">
        <f t="shared" si="6"/>
        <v>100000</v>
      </c>
      <c r="I12">
        <f t="shared" si="6"/>
        <v>100000</v>
      </c>
      <c r="J12">
        <f t="shared" si="6"/>
        <v>100000</v>
      </c>
      <c r="K12">
        <f t="shared" si="6"/>
        <v>100000</v>
      </c>
      <c r="L12">
        <f t="shared" si="6"/>
        <v>100000</v>
      </c>
    </row>
    <row r="13" spans="1:12" x14ac:dyDescent="0.2">
      <c r="A13" t="s">
        <v>9</v>
      </c>
      <c r="B13">
        <f t="shared" ref="B13:L13" si="7">B9+(B8*B11)</f>
        <v>60000</v>
      </c>
      <c r="C13">
        <f t="shared" si="7"/>
        <v>60000</v>
      </c>
      <c r="D13">
        <f t="shared" si="7"/>
        <v>60000</v>
      </c>
      <c r="E13">
        <f t="shared" si="7"/>
        <v>60000</v>
      </c>
      <c r="F13">
        <f t="shared" si="7"/>
        <v>60000</v>
      </c>
      <c r="G13">
        <f t="shared" si="7"/>
        <v>60000</v>
      </c>
      <c r="H13">
        <f t="shared" si="7"/>
        <v>60000</v>
      </c>
      <c r="I13">
        <f t="shared" si="7"/>
        <v>60000</v>
      </c>
      <c r="J13">
        <f t="shared" si="7"/>
        <v>60000</v>
      </c>
      <c r="K13">
        <f t="shared" si="7"/>
        <v>60000</v>
      </c>
      <c r="L13">
        <f t="shared" si="7"/>
        <v>60000</v>
      </c>
    </row>
    <row r="14" spans="1:12" x14ac:dyDescent="0.2">
      <c r="A14" t="s">
        <v>10</v>
      </c>
      <c r="B14">
        <f t="shared" ref="B14:L14" si="8">B12-B13</f>
        <v>40000</v>
      </c>
      <c r="C14">
        <f t="shared" si="8"/>
        <v>40000</v>
      </c>
      <c r="D14">
        <f t="shared" si="8"/>
        <v>40000</v>
      </c>
      <c r="E14">
        <f t="shared" si="8"/>
        <v>40000</v>
      </c>
      <c r="F14">
        <f t="shared" si="8"/>
        <v>40000</v>
      </c>
      <c r="G14">
        <f t="shared" si="8"/>
        <v>40000</v>
      </c>
      <c r="H14">
        <f t="shared" si="8"/>
        <v>40000</v>
      </c>
      <c r="I14">
        <f t="shared" si="8"/>
        <v>40000</v>
      </c>
      <c r="J14">
        <f t="shared" si="8"/>
        <v>40000</v>
      </c>
      <c r="K14">
        <f t="shared" si="8"/>
        <v>40000</v>
      </c>
      <c r="L14">
        <f t="shared" si="8"/>
        <v>40000</v>
      </c>
    </row>
    <row r="16" spans="1:12" x14ac:dyDescent="0.2">
      <c r="A16" t="s">
        <v>11</v>
      </c>
      <c r="C16">
        <f t="shared" ref="C16:L16" si="9">B11</f>
        <v>1000</v>
      </c>
      <c r="D16">
        <f t="shared" si="9"/>
        <v>1000</v>
      </c>
      <c r="E16">
        <f t="shared" si="9"/>
        <v>1000</v>
      </c>
      <c r="F16">
        <f t="shared" si="9"/>
        <v>1000</v>
      </c>
      <c r="G16">
        <f t="shared" si="9"/>
        <v>1000</v>
      </c>
      <c r="H16">
        <f t="shared" si="9"/>
        <v>1000</v>
      </c>
      <c r="I16">
        <f t="shared" si="9"/>
        <v>1000</v>
      </c>
      <c r="J16">
        <f t="shared" si="9"/>
        <v>1000</v>
      </c>
      <c r="K16">
        <f t="shared" si="9"/>
        <v>1000</v>
      </c>
      <c r="L16">
        <f t="shared" si="9"/>
        <v>1000</v>
      </c>
    </row>
    <row r="17" spans="1:12" x14ac:dyDescent="0.2">
      <c r="A17" t="s">
        <v>12</v>
      </c>
      <c r="C17">
        <f t="shared" ref="C17:L17" si="10">B12</f>
        <v>100000</v>
      </c>
      <c r="D17">
        <f t="shared" si="10"/>
        <v>100000</v>
      </c>
      <c r="E17">
        <f t="shared" si="10"/>
        <v>100000</v>
      </c>
      <c r="F17">
        <f t="shared" si="10"/>
        <v>100000</v>
      </c>
      <c r="G17">
        <f t="shared" si="10"/>
        <v>100000</v>
      </c>
      <c r="H17">
        <f t="shared" si="10"/>
        <v>100000</v>
      </c>
      <c r="I17">
        <f t="shared" si="10"/>
        <v>100000</v>
      </c>
      <c r="J17">
        <f t="shared" si="10"/>
        <v>100000</v>
      </c>
      <c r="K17">
        <f t="shared" si="10"/>
        <v>100000</v>
      </c>
      <c r="L17">
        <f t="shared" si="10"/>
        <v>100000</v>
      </c>
    </row>
    <row r="18" spans="1:12" x14ac:dyDescent="0.2">
      <c r="A18" t="s">
        <v>13</v>
      </c>
      <c r="C18">
        <f t="shared" ref="C18:L18" si="11">B13</f>
        <v>60000</v>
      </c>
      <c r="D18">
        <f t="shared" si="11"/>
        <v>60000</v>
      </c>
      <c r="E18">
        <f t="shared" si="11"/>
        <v>60000</v>
      </c>
      <c r="F18">
        <f t="shared" si="11"/>
        <v>60000</v>
      </c>
      <c r="G18">
        <f t="shared" si="11"/>
        <v>60000</v>
      </c>
      <c r="H18">
        <f t="shared" si="11"/>
        <v>60000</v>
      </c>
      <c r="I18">
        <f t="shared" si="11"/>
        <v>60000</v>
      </c>
      <c r="J18">
        <f t="shared" si="11"/>
        <v>60000</v>
      </c>
      <c r="K18">
        <f t="shared" si="11"/>
        <v>60000</v>
      </c>
      <c r="L18">
        <f t="shared" si="11"/>
        <v>60000</v>
      </c>
    </row>
    <row r="19" spans="1:12" x14ac:dyDescent="0.2">
      <c r="A19" t="s">
        <v>14</v>
      </c>
      <c r="C19">
        <f t="shared" ref="C19:L19" si="12">B14</f>
        <v>40000</v>
      </c>
      <c r="D19">
        <f t="shared" si="12"/>
        <v>40000</v>
      </c>
      <c r="E19">
        <f t="shared" si="12"/>
        <v>40000</v>
      </c>
      <c r="F19">
        <f t="shared" si="12"/>
        <v>40000</v>
      </c>
      <c r="G19">
        <f t="shared" si="12"/>
        <v>40000</v>
      </c>
      <c r="H19">
        <f t="shared" si="12"/>
        <v>40000</v>
      </c>
      <c r="I19">
        <f t="shared" si="12"/>
        <v>40000</v>
      </c>
      <c r="J19">
        <f t="shared" si="12"/>
        <v>40000</v>
      </c>
      <c r="K19">
        <f t="shared" si="12"/>
        <v>40000</v>
      </c>
      <c r="L19">
        <f t="shared" si="12"/>
        <v>40000</v>
      </c>
    </row>
    <row r="20" spans="1:12" x14ac:dyDescent="0.2">
      <c r="C20">
        <f t="shared" ref="C20:L20" si="13">B5</f>
        <v>100</v>
      </c>
      <c r="D20">
        <f t="shared" si="13"/>
        <v>100</v>
      </c>
      <c r="E20">
        <f t="shared" si="13"/>
        <v>100</v>
      </c>
      <c r="F20">
        <f t="shared" si="13"/>
        <v>100</v>
      </c>
      <c r="G20">
        <f t="shared" si="13"/>
        <v>100</v>
      </c>
      <c r="H20">
        <f t="shared" si="13"/>
        <v>100</v>
      </c>
      <c r="I20">
        <f t="shared" si="13"/>
        <v>100</v>
      </c>
      <c r="J20">
        <f t="shared" si="13"/>
        <v>100</v>
      </c>
      <c r="K20">
        <f t="shared" si="13"/>
        <v>100</v>
      </c>
      <c r="L20">
        <f t="shared" si="13"/>
        <v>100</v>
      </c>
    </row>
    <row r="21" spans="1:12" x14ac:dyDescent="0.2">
      <c r="C21">
        <f t="shared" ref="C21:L21" si="14">B6</f>
        <v>1200</v>
      </c>
      <c r="D21">
        <f t="shared" si="14"/>
        <v>1200</v>
      </c>
      <c r="E21">
        <f t="shared" si="14"/>
        <v>1200</v>
      </c>
      <c r="F21">
        <f t="shared" si="14"/>
        <v>1200</v>
      </c>
      <c r="G21">
        <f t="shared" si="14"/>
        <v>1200</v>
      </c>
      <c r="H21">
        <f t="shared" si="14"/>
        <v>1200</v>
      </c>
      <c r="I21">
        <f t="shared" si="14"/>
        <v>1200</v>
      </c>
      <c r="J21">
        <f t="shared" si="14"/>
        <v>1200</v>
      </c>
      <c r="K21">
        <f t="shared" si="14"/>
        <v>1200</v>
      </c>
      <c r="L21">
        <f t="shared" si="14"/>
        <v>1200</v>
      </c>
    </row>
    <row r="22" spans="1:12" x14ac:dyDescent="0.2">
      <c r="C22">
        <f t="shared" ref="C22:L22" si="15">B7</f>
        <v>1000</v>
      </c>
      <c r="D22">
        <f t="shared" si="15"/>
        <v>1000</v>
      </c>
      <c r="E22">
        <f t="shared" si="15"/>
        <v>1000</v>
      </c>
      <c r="F22">
        <f t="shared" si="15"/>
        <v>1000</v>
      </c>
      <c r="G22">
        <f t="shared" si="15"/>
        <v>1000</v>
      </c>
      <c r="H22">
        <f t="shared" si="15"/>
        <v>1000</v>
      </c>
      <c r="I22">
        <f t="shared" si="15"/>
        <v>1000</v>
      </c>
      <c r="J22">
        <f t="shared" si="15"/>
        <v>1000</v>
      </c>
      <c r="K22">
        <f t="shared" si="15"/>
        <v>1000</v>
      </c>
      <c r="L22">
        <f t="shared" si="15"/>
        <v>1000</v>
      </c>
    </row>
    <row r="23" spans="1:12" x14ac:dyDescent="0.2">
      <c r="C23">
        <f t="shared" ref="C23:L23" si="16">B8</f>
        <v>40</v>
      </c>
      <c r="D23">
        <f t="shared" si="16"/>
        <v>40</v>
      </c>
      <c r="E23">
        <f t="shared" si="16"/>
        <v>40</v>
      </c>
      <c r="F23">
        <f t="shared" si="16"/>
        <v>40</v>
      </c>
      <c r="G23">
        <f t="shared" si="16"/>
        <v>40</v>
      </c>
      <c r="H23">
        <f t="shared" si="16"/>
        <v>40</v>
      </c>
      <c r="I23">
        <f t="shared" si="16"/>
        <v>40</v>
      </c>
      <c r="J23">
        <f t="shared" si="16"/>
        <v>40</v>
      </c>
      <c r="K23">
        <f t="shared" si="16"/>
        <v>40</v>
      </c>
      <c r="L23">
        <f t="shared" si="16"/>
        <v>40</v>
      </c>
    </row>
    <row r="24" spans="1:12" x14ac:dyDescent="0.2">
      <c r="C24">
        <f t="shared" ref="C24:L24" si="17">B9</f>
        <v>20000</v>
      </c>
      <c r="D24">
        <f t="shared" si="17"/>
        <v>20000</v>
      </c>
      <c r="E24">
        <f t="shared" si="17"/>
        <v>20000</v>
      </c>
      <c r="F24">
        <f t="shared" si="17"/>
        <v>20000</v>
      </c>
      <c r="G24">
        <f t="shared" si="17"/>
        <v>20000</v>
      </c>
      <c r="H24">
        <f t="shared" si="17"/>
        <v>20000</v>
      </c>
      <c r="I24">
        <f t="shared" si="17"/>
        <v>20000</v>
      </c>
      <c r="J24">
        <f t="shared" si="17"/>
        <v>20000</v>
      </c>
      <c r="K24">
        <f t="shared" si="17"/>
        <v>20000</v>
      </c>
      <c r="L24">
        <f t="shared" si="17"/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Sheet1</vt:lpstr>
      <vt:lpstr>Capacity</vt:lpstr>
      <vt:lpstr>creator</vt:lpstr>
      <vt:lpstr>Demand</vt:lpstr>
      <vt:lpstr>Fixed_Costs</vt:lpstr>
      <vt:lpstr>Price</vt:lpstr>
      <vt:lpstr>Profit</vt:lpstr>
      <vt:lpstr>Report_Capacity</vt:lpstr>
      <vt:lpstr>Report_Demand</vt:lpstr>
      <vt:lpstr>Report_Fixed_Costs</vt:lpstr>
      <vt:lpstr>Report_Price</vt:lpstr>
      <vt:lpstr>Report_Profit</vt:lpstr>
      <vt:lpstr>Report_Revenue</vt:lpstr>
      <vt:lpstr>Report_Total_Costs</vt:lpstr>
      <vt:lpstr>Report_Units_Sold</vt:lpstr>
      <vt:lpstr>Report_Variable_Cost</vt:lpstr>
      <vt:lpstr>Revenue</vt:lpstr>
      <vt:lpstr>Step</vt:lpstr>
      <vt:lpstr>Time</vt:lpstr>
      <vt:lpstr>Total_Costs</vt:lpstr>
      <vt:lpstr>Units_Sold</vt:lpstr>
      <vt:lpstr>Variable_Cost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MPQ MPQ</cp:lastModifiedBy>
  <dcterms:created xsi:type="dcterms:W3CDTF">2026-02-03T19:23:58Z</dcterms:created>
  <dcterms:modified xsi:type="dcterms:W3CDTF">2026-03-09T21:04:42Z</dcterms:modified>
</cp:coreProperties>
</file>